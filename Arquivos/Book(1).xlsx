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05" windowWidth="14805" windowHeight="8010" firstSheet="3" activeTab="5"/>
  </bookViews>
  <sheets>
    <sheet sheetId="2" name="Classificação e Justificativa d" state="visible" r:id="rId4"/>
    <sheet sheetId="4" name="Cálculo UAW (Unadjusted Actor W" state="visible" r:id="rId5"/>
    <sheet sheetId="1" name="FCT" state="visible" r:id="rId6"/>
    <sheet sheetId="3" name="FCA" state="visible" r:id="rId7"/>
    <sheet sheetId="5" name="UUCW" state="visible" r:id="rId8"/>
    <sheet sheetId="6" name="Consolidado" state="visible" r:id="rId9"/>
  </sheets>
  <calcPr calcId="171027"/>
</workbook>
</file>

<file path=xl/sharedStrings.xml><?xml version="1.0" encoding="utf-8"?>
<sst xmlns="http://schemas.openxmlformats.org/spreadsheetml/2006/main" count="211" uniqueCount="179">
  <si>
    <t>Ator</t>
  </si>
  <si>
    <t>Peso</t>
  </si>
  <si>
    <t>Complexidade</t>
  </si>
  <si>
    <t>Justificativa</t>
  </si>
  <si>
    <t>NextAuth (Autenticação)</t>
  </si>
  <si>
    <t>Simples</t>
  </si>
  <si>
    <t>Outro sistema acessado através de uma API de programação para emitir e validar tokens JWT.</t>
  </si>
  <si>
    <t>WhatsApp (Notificações)</t>
  </si>
  <si>
    <t>Outro sistema acessado através de API para disparar mensagens através de URLs dinâmicas.</t>
  </si>
  <si>
    <t>Firebase Storage</t>
  </si>
  <si>
    <t>Outro sistema acessado através de API para upload seguro de arquivos na nuvem.</t>
  </si>
  <si>
    <t>CEO</t>
  </si>
  <si>
    <t>Complexo</t>
  </si>
  <si>
    <t>Usuário humano interagindo através da interface gráfica no Dashboard principal.</t>
  </si>
  <si>
    <t>CS</t>
  </si>
  <si>
    <t>Usuário humano interagindo através da interface gráfica no Painel Drawer 360°.</t>
  </si>
  <si>
    <t>Vendas</t>
  </si>
  <si>
    <t>Usuário humano interagindo através da interface gráfica no Cadastro de Empresas e cobranças.</t>
  </si>
  <si>
    <t>Operacional</t>
  </si>
  <si>
    <t>Usuário humano interagindo através da interface gráfica no Quadro Kanban e Timer.</t>
  </si>
  <si>
    <t>Cliente</t>
  </si>
  <si>
    <t>Usuário humano interagindo através da interface gráfica para acessar e liquidar faturas.</t>
  </si>
  <si>
    <t>Financeira</t>
  </si>
  <si>
    <t>Usuário humano interagindo através da interface gráfica no Módulo Financeiro.</t>
  </si>
  <si>
    <t>Recepcionista</t>
  </si>
  <si>
    <t>Usuário humano interagindo através de uma interface gráfica (cenário de reuso para clínicas médicas).</t>
  </si>
  <si>
    <t>Psicóloga</t>
  </si>
  <si>
    <t>Tipo de Ator</t>
  </si>
  <si>
    <t>Nº de atores</t>
  </si>
  <si>
    <t>Resultado</t>
  </si>
  <si>
    <t>Ator Simples</t>
  </si>
  <si>
    <t>Ator Médio</t>
  </si>
  <si>
    <t>Ator Complexo</t>
  </si>
  <si>
    <t>Total UAW</t>
  </si>
  <si>
    <t>ID</t>
  </si>
  <si>
    <t>DESCRIÇÃO</t>
  </si>
  <si>
    <t>PESO</t>
  </si>
  <si>
    <t>Nota</t>
  </si>
  <si>
    <t>Total</t>
  </si>
  <si>
    <t>T1</t>
  </si>
  <si>
    <t>Sistemas distribuídos</t>
  </si>
  <si>
    <t xml:space="preserve">Trata-se de uma aplicação cliente-servidor padrão com API e interface web unificadas no Next.js conectadas a um banco de dados relacional. Não há necessidade de arquiteturas distribuídas complexas (como mensageria pesada ou múltiplos microsserviços geograficamente dispersos).  </t>
  </si>
  <si>
    <t>T2</t>
  </si>
  <si>
    <t>Objetivos de desempenho e tempo de resposta</t>
  </si>
  <si>
    <t xml:space="preserve">As operações de rotina (consulta de inadimplentes, gráficos do dashboard e listagem de tarefas) devem carregar em poucos segundos para a recepção/médicos, atendidas com renderização otimizada do Next.js.  </t>
  </si>
  <si>
    <t>T3</t>
  </si>
  <si>
    <t>Eficiência do usuário final (on-line)</t>
  </si>
  <si>
    <t>A interface oferece interação rápida e contínua: filtros em tempo real de status de faturas (PENDING, PAID), cronômetro dinâmico de tarefas e geração rápida de relatórios.</t>
  </si>
  <si>
    <t>T4</t>
  </si>
  <si>
    <t>Complexidade interna de processamento</t>
  </si>
  <si>
    <t>O sistema realiza consolidação de mensalidades, cálculo de prazos de vencimento, projeção de faturas futuras e acúmulo de tempo trabalhado. São regras de negócio e financeiras bem estruturadas, sem algoritmos de alta densidade matemática ou IA.</t>
  </si>
  <si>
    <t>T5</t>
  </si>
  <si>
    <t>Código deve ser reutilizado</t>
  </si>
  <si>
    <t>Alta modularização no frontend e backend, permitindo reuso de tabelas, modais, formulários e integração ORM.</t>
  </si>
  <si>
    <t>T6</t>
  </si>
  <si>
    <t>Facilidade de instalação</t>
  </si>
  <si>
    <t>Por ser uma aplicação web hospedável em nuvem, a equipe da clínica não precisa instalar softwares locais em suas máquinas, acessando tudo via navegador.</t>
  </si>
  <si>
    <t>T7</t>
  </si>
  <si>
    <t>Facilidade de uso</t>
  </si>
  <si>
    <t xml:space="preserve">Essencial. Os usuários finais (psicólogos, secretárias e administradores) não são da área de TI e precisam de telas limpas, cartões de métricas, botões claros e gráficos fáceis de interpretar.  </t>
  </si>
  <si>
    <t>T8</t>
  </si>
  <si>
    <t>Portabilidade</t>
  </si>
  <si>
    <t xml:space="preserve">Totalmente acessível por múltiplos navegadores e dispositivos (desktops da recepção, notebooks e tablets dos profissionais).  </t>
  </si>
  <si>
    <t>T9</t>
  </si>
  <si>
    <t>Facilidade de mudança</t>
  </si>
  <si>
    <t>O uso de TypeScript/JavaScript com Prisma ORM permite aplicar migrações de banco de dados e adicionar novos campos ou relatórios com facilidade</t>
  </si>
  <si>
    <t>T10</t>
  </si>
  <si>
    <t>Concorrência</t>
  </si>
  <si>
    <t xml:space="preserve">Acesso simultâneo típico de uma clínica de médio porte (secretária dando baixa em pagamentos enquanto psicólogos registram tarefas e o gestor visualiza gráficos), sem necessidade de suportar milhares de requisições por segundo.  </t>
  </si>
  <si>
    <t>T11</t>
  </si>
  <si>
    <t>Inclui características especiais de segurança</t>
  </si>
  <si>
    <t xml:space="preserve">Crítico no contexto de saúde. Envolve controle de permissões por papéis, proteção de dados de faturas/pagamentos e sigilo das informações de clientes e contratos em conformidade com a LGPD.  </t>
  </si>
  <si>
    <t>T12</t>
  </si>
  <si>
    <t>Oferece acesso direto para terceiros</t>
  </si>
  <si>
    <t xml:space="preserve">Suporte a integrações pontuais (ex: webhooks de conciliação de pagamentos ou upload de contratos), sem expor APIs públicas irrestritas.  </t>
  </si>
  <si>
    <t>T13</t>
  </si>
  <si>
    <t>Requer treinamento especial dos usuários</t>
  </si>
  <si>
    <t xml:space="preserve">Por ter fluxos intuitivos e interfaces de dashboard bem autoexplicativas, exige apenas uma breve instrução inicial de uso, sem necessidade de cursos formais extensos.  </t>
  </si>
  <si>
    <t>TOTAL</t>
  </si>
  <si>
    <t>NOTA</t>
  </si>
  <si>
    <t>F1</t>
  </si>
  <si>
    <t>Uso de um processo formal de desenvolvimento de software</t>
  </si>
  <si>
    <t>A equipe adota metodologia ágil/processo acadêmico com sprints, controle de versão via Git e entregas por fases/RAs.</t>
  </si>
  <si>
    <t>F2</t>
  </si>
  <si>
    <t>Experiência na aplicação</t>
  </si>
  <si>
    <t>A equipe está aprofundando o domínio das regras de negócio clínicas (gestão de sessões, faturamento de mensalidades e sigilo).</t>
  </si>
  <si>
    <t>F3</t>
  </si>
  <si>
    <t>Experiência em OO</t>
  </si>
  <si>
    <t xml:space="preserve">Bom domínio do paradigma orientado a objetos e modelagem relacional com TypeScript e Prisma ORM. </t>
  </si>
  <si>
    <t>F4</t>
  </si>
  <si>
    <t>Capacidade do líder analista</t>
  </si>
  <si>
    <t xml:space="preserve">Liderança com boa capacidade analítica para modelar casos de uso e guiar a arquitetura do projeto. </t>
  </si>
  <si>
    <t>F5</t>
  </si>
  <si>
    <t>Motivação</t>
  </si>
  <si>
    <t xml:space="preserve">Alta motivação por se tratar da entrega do último RA da disciplina e um projeto de extensão aplicado a uma clínica real. </t>
  </si>
  <si>
    <t>F6</t>
  </si>
  <si>
    <t>Estabilidade de requisitos</t>
  </si>
  <si>
    <t xml:space="preserve">Escopo bem delimitado nos módulos principais: faturas, mensalidades, inadimplentes, tarefas e cadastro de clientes. </t>
  </si>
  <si>
    <t>F7</t>
  </si>
  <si>
    <t>Número de trabalhadores em tempo parcial</t>
  </si>
  <si>
    <t xml:space="preserve">Dedicação em tempo parcial dos integrantes devido a outras disciplinas e atividades profissionais/estágios. </t>
  </si>
  <si>
    <t>F8</t>
  </si>
  <si>
    <t>Dificuldade da linguagem de programação</t>
  </si>
  <si>
    <t xml:space="preserve">Stack moderna e produtiva (Next.js, React, Node.js, Prisma ORM), com ampla documentação e baixa complexidade de codificação. </t>
  </si>
  <si>
    <t>Caso de Uso (UC)</t>
  </si>
  <si>
    <t>Descrição / Fluxo</t>
  </si>
  <si>
    <t>UC01: Autenticar e Autorizar Usuário</t>
  </si>
  <si>
    <t xml:space="preserve">Login via NextAuth, validação de JWT e redirecionamento por permissão de acesso </t>
  </si>
  <si>
    <t>Simples (1-3 passos)</t>
  </si>
  <si>
    <t>UC02: Gerenciar Cadastro de Empresas/Clientes</t>
  </si>
  <si>
    <t>Criar, editar, buscar e vincular responsáveis (CS/Vendas/Owner).</t>
  </si>
  <si>
    <t>Médio (4-7 passos)</t>
  </si>
  <si>
    <t>UC03: Upload e Gestão de Contratos</t>
  </si>
  <si>
    <t>Envio de contratos em PDF para nuvem via Firebase Storage e vínculo ao cadastro.</t>
  </si>
  <si>
    <t>UC04: Gerenciar Mensalidades e Recorrência</t>
  </si>
  <si>
    <t>Configurar valores, datas de vencimento e ativação/desativação.</t>
  </si>
  <si>
    <t>UC05: Gerar e Processar Faturas (Invoices)</t>
  </si>
  <si>
    <t>Emissão periódica de faturas correntes/futuras e painel de inadimplência.</t>
  </si>
  <si>
    <t>Complexo (&gt;7 passos)</t>
  </si>
  <si>
    <t>UC06: Registrar e Conciliar Pagamentos</t>
  </si>
  <si>
    <t>Baixa de pagamentos, registro de método (PIX/Venda) e liquidação de pendências.</t>
  </si>
  <si>
    <t>UC07: Notificar Cobrança via WhatsApp</t>
  </si>
  <si>
    <t>Disparo de mensagens automáticas de lembrete/cobrança com links dinâmicos.</t>
  </si>
  <si>
    <t>UC08: Gerenciar Tarefas no Kanban e Timer</t>
  </si>
  <si>
    <t>Criação, atribuição, mudança de status e cronômetro de tempo (</t>
  </si>
  <si>
    <t>UC09: Visualizar Drawer 360° do Cliente</t>
  </si>
  <si>
    <t>Painel lateral consolidado com histórico financeiro, tarefas e dados de contato.</t>
  </si>
  <si>
    <t>UC10: Visualizar Dashboard Executivo</t>
  </si>
  <si>
    <t>Gráficos de faturamento, métricas gerais, metas e indicadores de desempenho.</t>
  </si>
  <si>
    <t>Tipo de Caso de Uso</t>
  </si>
  <si>
    <t>Nº de Casos de Uso</t>
  </si>
  <si>
    <t>Resultado (Peso × Qtd)</t>
  </si>
  <si>
    <t>Caso de Uso Simples</t>
  </si>
  <si>
    <t>Caso de Uso Médio</t>
  </si>
  <si>
    <t>Caso de Uso Complexo</t>
  </si>
  <si>
    <t>TOTAL UUCW</t>
  </si>
  <si>
    <t>MÉTRICA / ETAPA DE CÁLCULO</t>
  </si>
  <si>
    <t>VALOR / FÓRMULA</t>
  </si>
  <si>
    <t>UNIDADE</t>
  </si>
  <si>
    <t>OBSERVAÇÃO / REFERÊNCIA</t>
  </si>
  <si>
    <t>Total UAW (Unadjusted Actor Weight)</t>
  </si>
  <si>
    <t>Pontos</t>
  </si>
  <si>
    <t>Soma dos pesos dos atores (Simples, Médio, Complexo)</t>
  </si>
  <si>
    <t>Total UUCW (Unadjusted Use Case Weight)</t>
  </si>
  <si>
    <t>Soma dos pesos dos 10 Casos de Uso do sistema</t>
  </si>
  <si>
    <t>UUCP (Use Case Points Não Ajustados)</t>
  </si>
  <si>
    <t>UUCP = UAW + UUCW</t>
  </si>
  <si>
    <t>Soma dos Fatores Técnicos (FCT)</t>
  </si>
  <si>
    <t>Pontuação Ponderada</t>
  </si>
  <si>
    <t>Soma dos 13 fatores técnicos (T1 a T13)</t>
  </si>
  <si>
    <t>TCF (Fator de Complexidade Técnica)</t>
  </si>
  <si>
    <t>Multiplicador</t>
  </si>
  <si>
    <t>TCF = 0,6 + (0,01 × Soma FCT)</t>
  </si>
  <si>
    <t>Soma dos Fatores Ambientais (FCA)</t>
  </si>
  <si>
    <t>Soma dos 8 fatores ambientais (F1 a F8)</t>
  </si>
  <si>
    <t>ECF (Fator de Complexidade Ambiental)</t>
  </si>
  <si>
    <t>ECF = 1,4 + (-0,03 × Soma FCA)</t>
  </si>
  <si>
    <t>AUCP (Use Case Points Ajustados)</t>
  </si>
  <si>
    <t>UCP Ajustados</t>
  </si>
  <si>
    <t>AUCP = UUCP × TCF × ECF</t>
  </si>
  <si>
    <t>Produtividade Média Adotada</t>
  </si>
  <si>
    <t>Horas / UCP</t>
  </si>
  <si>
    <t>Métrica padrão de Karner (20 h/UCP)</t>
  </si>
  <si>
    <t>Esforço Total Estimado</t>
  </si>
  <si>
    <t>Homem-Horas (h)</t>
  </si>
  <si>
    <t>Esforço = AUCP × Produtividade</t>
  </si>
  <si>
    <t>Taxa / Custo por Hora de Desenvolvimento</t>
  </si>
  <si>
    <t>R$ / hora</t>
  </si>
  <si>
    <t>Valor padrão de referência dos slides</t>
  </si>
  <si>
    <t>CUSTO TOTAL ESTIMADO DO PROJETO</t>
  </si>
  <si>
    <t>Reais (R$)</t>
  </si>
  <si>
    <t>Custo Total = Esforço (h) × Valor/Hora</t>
  </si>
  <si>
    <t>CENÁRIO / EQUIPE DE DESENVOLVIMENTO</t>
  </si>
  <si>
    <t>HORAS / DEV</t>
  </si>
  <si>
    <t>PRAZO (SEMANAS)</t>
  </si>
  <si>
    <t>PRAZO (MESES)</t>
  </si>
  <si>
    <t>1 Desenvolvedor (40h/semana)</t>
  </si>
  <si>
    <t>2 Desenvolvedores (40h/semana cada)</t>
  </si>
  <si>
    <t>4 Desenvolvedores (Equipe de Estudantes - 40h/sem)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</si>
</sst>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"/>
    <numFmt numFmtId="166" formatCode="#,##0.0"/>
    <numFmt numFmtId="167" formatCode="&quot;R$&quot; #,##0.00"/>
  </numFmts>
  <fonts count="9" x14ac:knownFonts="1">
    <font>
      <color theme="1"/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charset val="1"/>
      <color rgb="FF242424"/>
      <sz val="11"/>
      <name val="Aptos Narrow"/>
    </font>
    <font>
      <charset val="1"/>
      <color rgb="FF000000"/>
      <sz val="10"/>
      <name val="System-Ui"/>
    </font>
    <font>
      <color rgb="FF000000"/>
      <scheme val="minor"/>
      <sz val="10"/>
      <name val="Calibri"/>
    </font>
    <font>
      <color rgb="FF000000"/>
      <scheme val="minor"/>
      <sz val="11"/>
      <name val="Calibri"/>
    </font>
    <font>
      <b/>
      <color rgb="FF000000"/>
      <scheme val="minor"/>
      <sz val="10"/>
      <name val="Calibri"/>
    </font>
    <font>
      <b/>
      <color rgb="FF000000"/>
      <sz val="11"/>
      <name val="Calibri"/>
    </font>
    <font>
      <color rgb="FF000000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0B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3" borderId="2" xfId="0" applyFill="1" applyBorder="1"/>
    <xf numFmtId="0" fontId="0" fillId="0" borderId="2" xfId="0" applyBorder="1"/>
    <xf numFmtId="0" fontId="0" fillId="4" borderId="2" xfId="0" applyFill="1" applyBorder="1"/>
    <xf numFmtId="0" fontId="0" fillId="4" borderId="1" xfId="0" applyFill="1" applyBorder="1"/>
    <xf numFmtId="0" fontId="1" fillId="2" borderId="1" xfId="0" applyFont="1" applyFill="1" applyBorder="1"/>
    <xf numFmtId="0" fontId="2" fillId="3" borderId="1" xfId="0" applyFont="1" applyFill="1" applyBorder="1"/>
    <xf numFmtId="0" fontId="0" fillId="0" borderId="0" xfId="0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0" xfId="0" applyFont="1"/>
    <xf numFmtId="0" fontId="4" fillId="5" borderId="1" xfId="0" applyFont="1" applyFill="1" applyBorder="1" applyAlignment="1">
      <alignment wrapText="1"/>
    </xf>
    <xf numFmtId="0" fontId="5" fillId="0" borderId="0" xfId="0" applyFont="1"/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1" fontId="7" fillId="7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2" fontId="7" fillId="8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center" vertical="center"/>
    </xf>
    <xf numFmtId="166" fontId="7" fillId="7" borderId="1" xfId="0" applyNumberFormat="1" applyFont="1" applyFill="1" applyBorder="1" applyAlignment="1">
      <alignment horizontal="right" vertical="center"/>
    </xf>
    <xf numFmtId="167" fontId="8" fillId="0" borderId="1" xfId="0" applyNumberFormat="1" applyFont="1" applyBorder="1" applyAlignment="1">
      <alignment horizontal="right" vertical="center"/>
    </xf>
    <xf numFmtId="167" fontId="7" fillId="8" borderId="1" xfId="0" applyNumberFormat="1" applyFont="1" applyFill="1" applyBorder="1" applyAlignment="1">
      <alignment horizontal="right" vertical="center"/>
    </xf>
    <xf numFmtId="166" fontId="8" fillId="0" borderId="1" xfId="0" applyNumberFormat="1" applyFont="1" applyBorder="1" applyAlignment="1">
      <alignment horizontal="right" vertical="center"/>
    </xf>
    <xf numFmtId="164" fontId="7" fillId="7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6"/>
  <sheetViews>
    <sheetView workbookViewId="0" zoomScale="100" zoomScaleNormal="100">
      <selection activeCell="J12" sqref="J12"/>
    </sheetView>
  </sheetViews>
  <sheetFormatPr defaultRowHeight="15" outlineLevelRow="0" outlineLevelCol="0" x14ac:dyDescent="0"/>
  <cols>
    <col min="2" max="2" width="4.42578125" customWidth="1"/>
    <col min="3" max="3" width="43.5703125" customWidth="1"/>
    <col min="4" max="4" width="5.7109375" customWidth="1"/>
    <col min="5" max="5" width="5.42578125" customWidth="1"/>
    <col min="7" max="7" width="74.5703125" style="10" customWidth="1"/>
  </cols>
  <sheetData>
    <row r="2" spans="2:7" x14ac:dyDescent="0.25">
      <c r="B2" s="11" t="s">
        <v>34</v>
      </c>
      <c r="C2" s="11" t="s">
        <v>35</v>
      </c>
      <c r="D2" s="11" t="s">
        <v>36</v>
      </c>
      <c r="E2" s="11" t="s">
        <v>37</v>
      </c>
      <c r="F2" s="11" t="s">
        <v>38</v>
      </c>
      <c r="G2" s="12" t="s">
        <v>3</v>
      </c>
    </row>
    <row r="3" ht="60.75" customHeight="1" spans="2:7" x14ac:dyDescent="0.25">
      <c r="B3" s="2" t="s">
        <v>39</v>
      </c>
      <c r="C3" s="2" t="s">
        <v>40</v>
      </c>
      <c r="D3" s="2">
        <v>2</v>
      </c>
      <c r="E3" s="2">
        <v>1</v>
      </c>
      <c r="F3" s="2">
        <f>D3*E3</f>
        <v>2</v>
      </c>
      <c r="G3" s="13" t="s">
        <v>41</v>
      </c>
    </row>
    <row r="4" ht="45.75" customHeight="1" spans="2:7" x14ac:dyDescent="0.25">
      <c r="B4" s="2" t="s">
        <v>42</v>
      </c>
      <c r="C4" s="2" t="s">
        <v>43</v>
      </c>
      <c r="D4" s="2">
        <v>1</v>
      </c>
      <c r="E4" s="2">
        <v>3</v>
      </c>
      <c r="F4" s="2">
        <f t="shared" ref="F4:F15" si="0">D4*E4</f>
        <v>3</v>
      </c>
      <c r="G4" s="13" t="s">
        <v>44</v>
      </c>
    </row>
    <row r="5" ht="45.75" customHeight="1" spans="2:7" x14ac:dyDescent="0.25">
      <c r="B5" s="2" t="s">
        <v>45</v>
      </c>
      <c r="C5" s="2" t="s">
        <v>46</v>
      </c>
      <c r="D5" s="2">
        <v>1</v>
      </c>
      <c r="E5" s="2">
        <v>4</v>
      </c>
      <c r="F5" s="2">
        <f t="shared" si="0"/>
        <v>4</v>
      </c>
      <c r="G5" s="13" t="s">
        <v>47</v>
      </c>
    </row>
    <row r="6" ht="45.75" customHeight="1" spans="2:7" x14ac:dyDescent="0.25">
      <c r="B6" s="2" t="s">
        <v>48</v>
      </c>
      <c r="C6" s="2" t="s">
        <v>49</v>
      </c>
      <c r="D6" s="2">
        <v>1</v>
      </c>
      <c r="E6" s="2">
        <v>2</v>
      </c>
      <c r="F6" s="2">
        <f t="shared" si="0"/>
        <v>2</v>
      </c>
      <c r="G6" s="13" t="s">
        <v>50</v>
      </c>
    </row>
    <row r="7" ht="30.75" customHeight="1" spans="2:7" x14ac:dyDescent="0.25">
      <c r="B7" s="2" t="s">
        <v>51</v>
      </c>
      <c r="C7" s="2" t="s">
        <v>52</v>
      </c>
      <c r="D7" s="2">
        <v>1</v>
      </c>
      <c r="E7" s="2">
        <v>4</v>
      </c>
      <c r="F7" s="2">
        <f t="shared" si="0"/>
        <v>4</v>
      </c>
      <c r="G7" s="13" t="s">
        <v>53</v>
      </c>
    </row>
    <row r="8" ht="30.75" customHeight="1" spans="2:7" x14ac:dyDescent="0.25">
      <c r="B8" s="2" t="s">
        <v>54</v>
      </c>
      <c r="C8" s="2" t="s">
        <v>55</v>
      </c>
      <c r="D8" s="2">
        <v>0.5</v>
      </c>
      <c r="E8" s="2">
        <v>4</v>
      </c>
      <c r="F8" s="2">
        <f t="shared" si="0"/>
        <v>2</v>
      </c>
      <c r="G8" s="13" t="s">
        <v>56</v>
      </c>
    </row>
    <row r="9" ht="45.75" customHeight="1" spans="2:7" x14ac:dyDescent="0.25">
      <c r="B9" s="2" t="s">
        <v>57</v>
      </c>
      <c r="C9" s="2" t="s">
        <v>58</v>
      </c>
      <c r="D9" s="2">
        <v>0.5</v>
      </c>
      <c r="E9" s="2">
        <v>5</v>
      </c>
      <c r="F9" s="2">
        <f t="shared" si="0"/>
        <v>2.5</v>
      </c>
      <c r="G9" s="13" t="s">
        <v>59</v>
      </c>
    </row>
    <row r="10" ht="30.75" customHeight="1" spans="2:7" x14ac:dyDescent="0.25">
      <c r="B10" s="2" t="s">
        <v>60</v>
      </c>
      <c r="C10" s="2" t="s">
        <v>61</v>
      </c>
      <c r="D10" s="2">
        <v>2</v>
      </c>
      <c r="E10" s="2">
        <v>4</v>
      </c>
      <c r="F10" s="2">
        <f t="shared" si="0"/>
        <v>8</v>
      </c>
      <c r="G10" s="13" t="s">
        <v>62</v>
      </c>
    </row>
    <row r="11" ht="30.75" customHeight="1" spans="2:7" x14ac:dyDescent="0.25">
      <c r="B11" s="2" t="s">
        <v>63</v>
      </c>
      <c r="C11" s="2" t="s">
        <v>64</v>
      </c>
      <c r="D11" s="2">
        <v>1</v>
      </c>
      <c r="E11" s="2">
        <v>4</v>
      </c>
      <c r="F11" s="2">
        <f t="shared" si="0"/>
        <v>4</v>
      </c>
      <c r="G11" s="13" t="s">
        <v>65</v>
      </c>
    </row>
    <row r="12" ht="45.75" customHeight="1" spans="2:7" x14ac:dyDescent="0.25">
      <c r="B12" s="2" t="s">
        <v>66</v>
      </c>
      <c r="C12" s="2" t="s">
        <v>67</v>
      </c>
      <c r="D12" s="2">
        <v>1</v>
      </c>
      <c r="E12" s="2">
        <v>1</v>
      </c>
      <c r="F12" s="2">
        <f t="shared" si="0"/>
        <v>1</v>
      </c>
      <c r="G12" s="13" t="s">
        <v>68</v>
      </c>
    </row>
    <row r="13" ht="45.75" customHeight="1" spans="2:7" x14ac:dyDescent="0.25">
      <c r="B13" s="2" t="s">
        <v>69</v>
      </c>
      <c r="C13" s="2" t="s">
        <v>70</v>
      </c>
      <c r="D13" s="2">
        <v>1</v>
      </c>
      <c r="E13" s="2">
        <v>4</v>
      </c>
      <c r="F13" s="2">
        <f t="shared" si="0"/>
        <v>4</v>
      </c>
      <c r="G13" s="13" t="s">
        <v>71</v>
      </c>
    </row>
    <row r="14" ht="30.75" customHeight="1" spans="2:7" x14ac:dyDescent="0.25">
      <c r="B14" s="2" t="s">
        <v>72</v>
      </c>
      <c r="C14" s="2" t="s">
        <v>73</v>
      </c>
      <c r="D14" s="2">
        <v>1</v>
      </c>
      <c r="E14" s="2">
        <v>2</v>
      </c>
      <c r="F14" s="2">
        <f t="shared" si="0"/>
        <v>2</v>
      </c>
      <c r="G14" s="13" t="s">
        <v>74</v>
      </c>
    </row>
    <row r="15" ht="45.75" customHeight="1" spans="2:7" x14ac:dyDescent="0.25">
      <c r="B15" s="2" t="s">
        <v>75</v>
      </c>
      <c r="C15" s="2" t="s">
        <v>76</v>
      </c>
      <c r="D15" s="2">
        <v>1</v>
      </c>
      <c r="E15" s="2">
        <v>1</v>
      </c>
      <c r="F15" s="2">
        <f>D15*E15</f>
        <v>1</v>
      </c>
      <c r="G15" s="13" t="s">
        <v>77</v>
      </c>
    </row>
    <row r="16" spans="2:7" x14ac:dyDescent="0.25">
      <c r="B16" s="2"/>
      <c r="C16" s="2" t="s">
        <v>78</v>
      </c>
      <c r="D16" s="2">
        <v>14</v>
      </c>
      <c r="E16" s="2"/>
      <c r="F16" s="2">
        <f>SUM(F3:F15)</f>
        <v>39.5</v>
      </c>
      <c r="G16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 zoomScale="100" zoomScaleNormal="100">
      <selection activeCell="C18" sqref="C18"/>
    </sheetView>
  </sheetViews>
  <sheetFormatPr defaultRowHeight="15" outlineLevelRow="0" outlineLevelCol="0" x14ac:dyDescent="0"/>
  <cols>
    <col min="1" max="1" width="23.140625" customWidth="1"/>
    <col min="3" max="3" width="13.7109375" customWidth="1"/>
    <col min="4" max="4" width="92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1</v>
      </c>
      <c r="C2" s="2" t="s">
        <v>5</v>
      </c>
      <c r="D2" s="2" t="s">
        <v>6</v>
      </c>
    </row>
    <row r="3" spans="1:4" x14ac:dyDescent="0.25">
      <c r="A3" s="3" t="s">
        <v>7</v>
      </c>
      <c r="B3" s="3">
        <v>1</v>
      </c>
      <c r="C3" s="3" t="s">
        <v>5</v>
      </c>
      <c r="D3" s="3" t="s">
        <v>8</v>
      </c>
    </row>
    <row r="4" spans="1:4" x14ac:dyDescent="0.25">
      <c r="A4" s="2" t="s">
        <v>9</v>
      </c>
      <c r="B4" s="2">
        <v>1</v>
      </c>
      <c r="C4" s="2" t="s">
        <v>5</v>
      </c>
      <c r="D4" s="2" t="s">
        <v>10</v>
      </c>
    </row>
    <row r="5" spans="1:4" x14ac:dyDescent="0.25">
      <c r="A5" s="3" t="s">
        <v>11</v>
      </c>
      <c r="B5" s="3">
        <v>3</v>
      </c>
      <c r="C5" s="3" t="s">
        <v>12</v>
      </c>
      <c r="D5" s="3" t="s">
        <v>13</v>
      </c>
    </row>
    <row r="6" spans="1:4" x14ac:dyDescent="0.25">
      <c r="A6" s="2" t="s">
        <v>14</v>
      </c>
      <c r="B6" s="2">
        <v>3</v>
      </c>
      <c r="C6" s="2" t="s">
        <v>12</v>
      </c>
      <c r="D6" s="2" t="s">
        <v>15</v>
      </c>
    </row>
    <row r="7" spans="1:4" x14ac:dyDescent="0.25">
      <c r="A7" s="3" t="s">
        <v>16</v>
      </c>
      <c r="B7" s="3">
        <v>3</v>
      </c>
      <c r="C7" s="3" t="s">
        <v>12</v>
      </c>
      <c r="D7" s="3" t="s">
        <v>17</v>
      </c>
    </row>
    <row r="8" spans="1:4" x14ac:dyDescent="0.25">
      <c r="A8" s="2" t="s">
        <v>18</v>
      </c>
      <c r="B8" s="2">
        <v>3</v>
      </c>
      <c r="C8" s="2" t="s">
        <v>12</v>
      </c>
      <c r="D8" s="2" t="s">
        <v>19</v>
      </c>
    </row>
    <row r="9" spans="1:4" x14ac:dyDescent="0.25">
      <c r="A9" s="4" t="s">
        <v>20</v>
      </c>
      <c r="B9" s="4">
        <v>3</v>
      </c>
      <c r="C9" s="4" t="s">
        <v>12</v>
      </c>
      <c r="D9" s="4" t="s">
        <v>21</v>
      </c>
    </row>
    <row r="10" spans="1:4" x14ac:dyDescent="0.25">
      <c r="A10" s="5" t="s">
        <v>22</v>
      </c>
      <c r="B10" s="6">
        <v>3</v>
      </c>
      <c r="C10" s="6" t="s">
        <v>12</v>
      </c>
      <c r="D10" s="5" t="s">
        <v>23</v>
      </c>
    </row>
    <row r="11" spans="1:4" x14ac:dyDescent="0.25">
      <c r="A11" s="3" t="s">
        <v>24</v>
      </c>
      <c r="B11" s="3">
        <v>3</v>
      </c>
      <c r="C11" s="3" t="s">
        <v>12</v>
      </c>
      <c r="D11" s="3" t="s">
        <v>25</v>
      </c>
    </row>
    <row r="12" spans="1:4" x14ac:dyDescent="0.25">
      <c r="A12" s="7" t="s">
        <v>26</v>
      </c>
      <c r="B12" s="7">
        <v>3</v>
      </c>
      <c r="C12" s="7" t="s">
        <v>12</v>
      </c>
      <c r="D12" s="7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1"/>
  <sheetViews>
    <sheetView workbookViewId="0" zoomScale="100" zoomScaleNormal="100">
      <selection activeCell="C3" sqref="C3"/>
    </sheetView>
  </sheetViews>
  <sheetFormatPr defaultRowHeight="15" outlineLevelRow="0" outlineLevelCol="0" x14ac:dyDescent="0"/>
  <cols>
    <col min="3" max="3" width="55.5703125" customWidth="1"/>
    <col min="7" max="7" width="65.85546875" style="10" customWidth="1"/>
  </cols>
  <sheetData>
    <row r="2" spans="2:7" x14ac:dyDescent="0.25">
      <c r="B2" s="11" t="s">
        <v>34</v>
      </c>
      <c r="C2" s="11" t="s">
        <v>35</v>
      </c>
      <c r="D2" s="11" t="s">
        <v>36</v>
      </c>
      <c r="E2" s="11" t="s">
        <v>79</v>
      </c>
      <c r="F2" s="11" t="s">
        <v>78</v>
      </c>
      <c r="G2" s="12" t="s">
        <v>3</v>
      </c>
    </row>
    <row r="3" ht="30.75" customHeight="1" spans="2:7" x14ac:dyDescent="0.25">
      <c r="B3" s="2" t="s">
        <v>80</v>
      </c>
      <c r="C3" s="2" t="s">
        <v>81</v>
      </c>
      <c r="D3" s="2">
        <v>1.5</v>
      </c>
      <c r="E3" s="2">
        <v>3</v>
      </c>
      <c r="F3" s="2">
        <f>D3*E3</f>
        <v>4.5</v>
      </c>
      <c r="G3" s="13" t="s">
        <v>82</v>
      </c>
    </row>
    <row r="4" ht="30.75" customHeight="1" spans="2:7" x14ac:dyDescent="0.25">
      <c r="B4" s="2" t="s">
        <v>83</v>
      </c>
      <c r="C4" s="2" t="s">
        <v>84</v>
      </c>
      <c r="D4" s="2">
        <v>0.5</v>
      </c>
      <c r="E4" s="2">
        <v>2</v>
      </c>
      <c r="F4" s="2">
        <f t="shared" ref="F4:F10" si="0">D4*E4</f>
        <v>1</v>
      </c>
      <c r="G4" s="13" t="s">
        <v>85</v>
      </c>
    </row>
    <row r="5" ht="30.75" customHeight="1" spans="2:7" x14ac:dyDescent="0.25">
      <c r="B5" s="2" t="s">
        <v>86</v>
      </c>
      <c r="C5" s="2" t="s">
        <v>87</v>
      </c>
      <c r="D5" s="2">
        <v>1</v>
      </c>
      <c r="E5" s="2">
        <v>4</v>
      </c>
      <c r="F5" s="2">
        <f t="shared" si="0"/>
        <v>4</v>
      </c>
      <c r="G5" s="13" t="s">
        <v>88</v>
      </c>
    </row>
    <row r="6" ht="30.75" customHeight="1" spans="2:7" x14ac:dyDescent="0.25">
      <c r="B6" s="2" t="s">
        <v>89</v>
      </c>
      <c r="C6" s="2" t="s">
        <v>90</v>
      </c>
      <c r="D6" s="2">
        <v>0.5</v>
      </c>
      <c r="E6" s="2">
        <v>3</v>
      </c>
      <c r="F6" s="2">
        <f t="shared" si="0"/>
        <v>1.5</v>
      </c>
      <c r="G6" s="13" t="s">
        <v>91</v>
      </c>
    </row>
    <row r="7" ht="30.75" customHeight="1" spans="2:7" x14ac:dyDescent="0.25">
      <c r="B7" s="2" t="s">
        <v>92</v>
      </c>
      <c r="C7" s="2" t="s">
        <v>93</v>
      </c>
      <c r="D7" s="2">
        <v>1</v>
      </c>
      <c r="E7" s="2">
        <v>5</v>
      </c>
      <c r="F7" s="2">
        <f t="shared" si="0"/>
        <v>5</v>
      </c>
      <c r="G7" s="13" t="s">
        <v>94</v>
      </c>
    </row>
    <row r="8" ht="30.75" customHeight="1" spans="2:7" x14ac:dyDescent="0.25">
      <c r="B8" s="2" t="s">
        <v>95</v>
      </c>
      <c r="C8" s="2" t="s">
        <v>96</v>
      </c>
      <c r="D8" s="2">
        <v>2</v>
      </c>
      <c r="E8" s="2">
        <v>4</v>
      </c>
      <c r="F8" s="2">
        <f t="shared" si="0"/>
        <v>8</v>
      </c>
      <c r="G8" s="13" t="s">
        <v>97</v>
      </c>
    </row>
    <row r="9" ht="30.75" customHeight="1" spans="2:7" x14ac:dyDescent="0.25">
      <c r="B9" s="2" t="s">
        <v>98</v>
      </c>
      <c r="C9" s="2" t="s">
        <v>99</v>
      </c>
      <c r="D9" s="2">
        <v>-1</v>
      </c>
      <c r="E9" s="2">
        <v>3</v>
      </c>
      <c r="F9" s="2">
        <f t="shared" si="0"/>
        <v>-3</v>
      </c>
      <c r="G9" s="13" t="s">
        <v>100</v>
      </c>
    </row>
    <row r="10" ht="30.75" customHeight="1" spans="2:7" x14ac:dyDescent="0.25">
      <c r="B10" s="2" t="s">
        <v>101</v>
      </c>
      <c r="C10" s="2" t="s">
        <v>102</v>
      </c>
      <c r="D10" s="2">
        <v>-1</v>
      </c>
      <c r="E10" s="2">
        <v>2</v>
      </c>
      <c r="F10" s="2">
        <f t="shared" si="0"/>
        <v>-2</v>
      </c>
      <c r="G10" s="13" t="s">
        <v>103</v>
      </c>
    </row>
    <row r="11" spans="2:7" x14ac:dyDescent="0.25">
      <c r="B11" s="2"/>
      <c r="C11" s="2" t="s">
        <v>78</v>
      </c>
      <c r="D11" s="2">
        <v>4.5</v>
      </c>
      <c r="E11" s="2"/>
      <c r="F11" s="2">
        <f>SUM(F3:F10)</f>
        <v>19</v>
      </c>
      <c r="G11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 zoomScale="100" zoomScaleNormal="100">
      <selection activeCell="F11" sqref="F11"/>
    </sheetView>
  </sheetViews>
  <sheetFormatPr defaultRowHeight="15" outlineLevelRow="0" outlineLevelCol="0" x14ac:dyDescent="0"/>
  <cols>
    <col min="1" max="1" width="14.28515625" customWidth="1"/>
    <col min="2" max="2" width="5.28515625" customWidth="1"/>
    <col min="3" max="3" width="12" customWidth="1"/>
    <col min="4" max="4" width="9.85546875" customWidth="1"/>
  </cols>
  <sheetData>
    <row r="1" spans="1:4" x14ac:dyDescent="0.25">
      <c r="A1" s="1" t="s">
        <v>27</v>
      </c>
      <c r="B1" s="1" t="s">
        <v>1</v>
      </c>
      <c r="C1" s="1" t="s">
        <v>28</v>
      </c>
      <c r="D1" s="1" t="s">
        <v>29</v>
      </c>
    </row>
    <row r="2" spans="1:4" x14ac:dyDescent="0.25">
      <c r="A2" s="2" t="s">
        <v>30</v>
      </c>
      <c r="B2" s="2">
        <v>1</v>
      </c>
      <c r="C2" s="2">
        <v>3</v>
      </c>
      <c r="D2" s="2">
        <v>3</v>
      </c>
    </row>
    <row r="3" spans="1:4" x14ac:dyDescent="0.25">
      <c r="A3" s="3" t="s">
        <v>31</v>
      </c>
      <c r="B3" s="3">
        <v>2</v>
      </c>
      <c r="C3" s="3">
        <v>0</v>
      </c>
      <c r="D3" s="3">
        <v>0</v>
      </c>
    </row>
    <row r="4" spans="1:4" x14ac:dyDescent="0.25">
      <c r="A4" s="2" t="s">
        <v>32</v>
      </c>
      <c r="B4" s="2">
        <v>3</v>
      </c>
      <c r="C4" s="5">
        <v>8</v>
      </c>
      <c r="D4" s="5">
        <v>24</v>
      </c>
    </row>
    <row r="5" spans="3:4" x14ac:dyDescent="0.25">
      <c r="C5" s="8" t="s">
        <v>33</v>
      </c>
      <c r="D5" s="9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0"/>
  <sheetViews>
    <sheetView workbookViewId="0" zoomScale="100" zoomScaleNormal="100">
      <selection activeCell="F15" sqref="F15"/>
    </sheetView>
  </sheetViews>
  <sheetFormatPr defaultRowHeight="15" outlineLevelRow="0" outlineLevelCol="0" x14ac:dyDescent="0"/>
  <cols>
    <col min="2" max="2" width="15.85546875" customWidth="1"/>
    <col min="3" max="3" width="40.140625" customWidth="1"/>
    <col min="4" max="4" width="16.28515625" customWidth="1"/>
    <col min="5" max="5" width="12.7109375" customWidth="1"/>
  </cols>
  <sheetData>
    <row r="2" spans="2:5" x14ac:dyDescent="0.25">
      <c r="B2" s="14" t="s">
        <v>104</v>
      </c>
      <c r="C2" s="14" t="s">
        <v>105</v>
      </c>
      <c r="D2" s="14" t="s">
        <v>2</v>
      </c>
      <c r="E2" s="14" t="s">
        <v>1</v>
      </c>
    </row>
    <row r="3" ht="60.75" customHeight="1" spans="2:5" x14ac:dyDescent="0.25">
      <c r="B3" s="15" t="s">
        <v>106</v>
      </c>
      <c r="C3" s="15" t="s">
        <v>107</v>
      </c>
      <c r="D3" s="15" t="s">
        <v>108</v>
      </c>
      <c r="E3" s="15">
        <v>5</v>
      </c>
    </row>
    <row r="4" ht="54.75" customHeight="1" spans="2:5" x14ac:dyDescent="0.25">
      <c r="B4" s="15" t="s">
        <v>109</v>
      </c>
      <c r="C4" s="15" t="s">
        <v>110</v>
      </c>
      <c r="D4" s="15" t="s">
        <v>111</v>
      </c>
      <c r="E4" s="15">
        <v>10</v>
      </c>
    </row>
    <row r="5" ht="41.25" customHeight="1" spans="2:5" x14ac:dyDescent="0.25">
      <c r="B5" s="15" t="s">
        <v>112</v>
      </c>
      <c r="C5" s="15" t="s">
        <v>113</v>
      </c>
      <c r="D5" s="15" t="s">
        <v>108</v>
      </c>
      <c r="E5" s="15">
        <v>5</v>
      </c>
    </row>
    <row r="6" ht="41.25" customHeight="1" spans="2:5" x14ac:dyDescent="0.25">
      <c r="B6" s="15" t="s">
        <v>114</v>
      </c>
      <c r="C6" s="15" t="s">
        <v>115</v>
      </c>
      <c r="D6" s="15" t="s">
        <v>111</v>
      </c>
      <c r="E6" s="15">
        <v>10</v>
      </c>
    </row>
    <row r="7" ht="41.25" customHeight="1" spans="2:5" x14ac:dyDescent="0.25">
      <c r="B7" s="15" t="s">
        <v>116</v>
      </c>
      <c r="C7" s="15" t="s">
        <v>117</v>
      </c>
      <c r="D7" s="15" t="s">
        <v>118</v>
      </c>
      <c r="E7" s="15">
        <v>15</v>
      </c>
    </row>
    <row r="8" ht="41.25" customHeight="1" spans="2:5" x14ac:dyDescent="0.25">
      <c r="B8" s="15" t="s">
        <v>119</v>
      </c>
      <c r="C8" s="15" t="s">
        <v>120</v>
      </c>
      <c r="D8" s="15" t="s">
        <v>111</v>
      </c>
      <c r="E8" s="15">
        <v>10</v>
      </c>
    </row>
    <row r="9" ht="41.25" customHeight="1" spans="2:5" x14ac:dyDescent="0.25">
      <c r="B9" s="15" t="s">
        <v>121</v>
      </c>
      <c r="C9" s="15" t="s">
        <v>122</v>
      </c>
      <c r="D9" s="15" t="s">
        <v>108</v>
      </c>
      <c r="E9" s="15">
        <v>5</v>
      </c>
    </row>
    <row r="10" ht="41.25" customHeight="1" spans="2:5" x14ac:dyDescent="0.25">
      <c r="B10" s="15" t="s">
        <v>123</v>
      </c>
      <c r="C10" s="15" t="s">
        <v>124</v>
      </c>
      <c r="D10" s="15" t="s">
        <v>118</v>
      </c>
      <c r="E10" s="15">
        <v>15</v>
      </c>
    </row>
    <row r="11" ht="41.25" customHeight="1" spans="2:5" x14ac:dyDescent="0.25">
      <c r="B11" s="15" t="s">
        <v>125</v>
      </c>
      <c r="C11" s="15" t="s">
        <v>126</v>
      </c>
      <c r="D11" s="15" t="s">
        <v>111</v>
      </c>
      <c r="E11" s="15">
        <v>10</v>
      </c>
    </row>
    <row r="12" ht="41.25" customHeight="1" spans="2:5" x14ac:dyDescent="0.25">
      <c r="B12" s="15" t="s">
        <v>127</v>
      </c>
      <c r="C12" s="15" t="s">
        <v>128</v>
      </c>
      <c r="D12" s="15" t="s">
        <v>118</v>
      </c>
      <c r="E12" s="15">
        <v>15</v>
      </c>
    </row>
    <row r="13" spans="1:6" x14ac:dyDescent="0.25">
      <c r="A13" s="16"/>
      <c r="B13" s="16"/>
      <c r="C13" s="16"/>
      <c r="D13" s="16"/>
      <c r="E13" s="16"/>
      <c r="F13" s="16"/>
    </row>
    <row r="14" ht="28.5" customHeight="1" spans="1:6" x14ac:dyDescent="0.25">
      <c r="A14" s="16"/>
      <c r="B14" s="16"/>
      <c r="C14" s="16"/>
      <c r="D14" s="16"/>
      <c r="E14" s="16"/>
      <c r="F14" s="16"/>
    </row>
    <row r="15" ht="27" customHeight="1" spans="1:6" x14ac:dyDescent="0.25">
      <c r="A15" s="16"/>
      <c r="B15" s="17" t="s">
        <v>129</v>
      </c>
      <c r="C15" s="17" t="s">
        <v>1</v>
      </c>
      <c r="D15" s="17" t="s">
        <v>130</v>
      </c>
      <c r="E15" s="17" t="s">
        <v>131</v>
      </c>
      <c r="F15" s="18"/>
    </row>
    <row r="16" ht="27" customHeight="1" spans="1:6" x14ac:dyDescent="0.25">
      <c r="A16" s="16"/>
      <c r="B16" s="19" t="s">
        <v>132</v>
      </c>
      <c r="C16" s="19">
        <v>5</v>
      </c>
      <c r="D16" s="19">
        <v>3</v>
      </c>
      <c r="E16" s="19">
        <f>C16*D16</f>
        <v>15</v>
      </c>
      <c r="F16" s="18"/>
    </row>
    <row r="17" spans="1:6" x14ac:dyDescent="0.25">
      <c r="A17" s="16"/>
      <c r="B17" s="19" t="s">
        <v>133</v>
      </c>
      <c r="C17" s="19">
        <v>10</v>
      </c>
      <c r="D17" s="19">
        <v>4</v>
      </c>
      <c r="E17" s="19">
        <f t="shared" ref="E17:E18" si="0">C17*D17</f>
        <v>40</v>
      </c>
      <c r="F17" s="18"/>
    </row>
    <row r="18" ht="27" customHeight="1" spans="1:6" x14ac:dyDescent="0.25">
      <c r="A18" s="16"/>
      <c r="B18" s="19" t="s">
        <v>134</v>
      </c>
      <c r="C18" s="19">
        <v>15</v>
      </c>
      <c r="D18" s="19">
        <v>3</v>
      </c>
      <c r="E18" s="19">
        <f t="shared" si="0"/>
        <v>45</v>
      </c>
      <c r="F18" s="18"/>
    </row>
    <row r="19" spans="1:6" x14ac:dyDescent="0.25">
      <c r="A19" s="16"/>
      <c r="B19" s="19" t="s">
        <v>135</v>
      </c>
      <c r="C19" s="19"/>
      <c r="D19" s="20">
        <f>SUM(D16:D18)</f>
        <v>10</v>
      </c>
      <c r="E19" s="20">
        <f>SUM(E16:E18)</f>
        <v>100</v>
      </c>
      <c r="F19" s="18"/>
    </row>
    <row r="20" spans="1:6" x14ac:dyDescent="0.25">
      <c r="A20" s="16"/>
      <c r="B20" s="18"/>
      <c r="C20" s="18"/>
      <c r="D20" s="18"/>
      <c r="E20" s="18"/>
      <c r="F20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0"/>
  <sheetViews>
    <sheetView workbookViewId="0" zoomScale="100" zoomScaleNormal="100"/>
  </sheetViews>
  <sheetFormatPr defaultRowHeight="15" outlineLevelRow="0" outlineLevelCol="0" x14ac:dyDescent="0"/>
  <cols>
    <col min="1" max="1" width="4" customWidth="1"/>
    <col min="2" max="2" width="46" customWidth="1"/>
    <col min="3" max="3" width="22" customWidth="1"/>
    <col min="4" max="4" width="24" customWidth="1"/>
    <col min="5" max="5" width="42" customWidth="1"/>
  </cols>
  <sheetData>
    <row r="2" spans="2:5" x14ac:dyDescent="0.25">
      <c r="B2" s="21" t="s">
        <v>136</v>
      </c>
      <c r="C2" s="22" t="s">
        <v>137</v>
      </c>
      <c r="D2" s="22" t="s">
        <v>138</v>
      </c>
      <c r="E2" s="22" t="s">
        <v>139</v>
      </c>
    </row>
    <row r="3" spans="2:5" x14ac:dyDescent="0.25">
      <c r="B3" s="23" t="s">
        <v>140</v>
      </c>
      <c r="C3" s="24">
        <f>'Cálculo UAW (Unadjusted Actor W'!D5</f>
      </c>
      <c r="D3" s="25" t="s">
        <v>141</v>
      </c>
      <c r="E3" s="23" t="s">
        <v>142</v>
      </c>
    </row>
    <row r="4" spans="2:5" x14ac:dyDescent="0.25">
      <c r="B4" s="23" t="s">
        <v>143</v>
      </c>
      <c r="C4" s="24">
        <f>UUCW!E19</f>
      </c>
      <c r="D4" s="25" t="s">
        <v>141</v>
      </c>
      <c r="E4" s="23" t="s">
        <v>144</v>
      </c>
    </row>
    <row r="5" spans="2:5" x14ac:dyDescent="0.25">
      <c r="B5" s="26" t="s">
        <v>145</v>
      </c>
      <c r="C5" s="27">
        <f>C3+C4</f>
      </c>
      <c r="D5" s="28" t="s">
        <v>141</v>
      </c>
      <c r="E5" s="26" t="s">
        <v>146</v>
      </c>
    </row>
    <row r="6" spans="2:5" x14ac:dyDescent="0.25">
      <c r="B6" s="23" t="s">
        <v>147</v>
      </c>
      <c r="C6" s="29">
        <f>FCT!F16</f>
      </c>
      <c r="D6" s="25" t="s">
        <v>148</v>
      </c>
      <c r="E6" s="23" t="s">
        <v>149</v>
      </c>
    </row>
    <row r="7" spans="2:5" x14ac:dyDescent="0.25">
      <c r="B7" s="30" t="s">
        <v>150</v>
      </c>
      <c r="C7" s="31">
        <f>0.6+(0.01*C6)</f>
      </c>
      <c r="D7" s="32" t="s">
        <v>151</v>
      </c>
      <c r="E7" s="30" t="s">
        <v>152</v>
      </c>
    </row>
    <row r="8" spans="2:5" x14ac:dyDescent="0.25">
      <c r="B8" s="23" t="s">
        <v>153</v>
      </c>
      <c r="C8" s="29">
        <f>FCA!F11</f>
      </c>
      <c r="D8" s="25" t="s">
        <v>148</v>
      </c>
      <c r="E8" s="23" t="s">
        <v>154</v>
      </c>
    </row>
    <row r="9" spans="2:5" x14ac:dyDescent="0.25">
      <c r="B9" s="30" t="s">
        <v>155</v>
      </c>
      <c r="C9" s="31">
        <f>1.4+(-0.03*C8)</f>
      </c>
      <c r="D9" s="32" t="s">
        <v>151</v>
      </c>
      <c r="E9" s="30" t="s">
        <v>156</v>
      </c>
    </row>
    <row r="10" spans="2:5" x14ac:dyDescent="0.25">
      <c r="B10" s="33" t="s">
        <v>157</v>
      </c>
      <c r="C10" s="34">
        <f>C5*C7*C9</f>
      </c>
      <c r="D10" s="35" t="s">
        <v>158</v>
      </c>
      <c r="E10" s="33" t="s">
        <v>159</v>
      </c>
    </row>
    <row r="11" spans="2:5" x14ac:dyDescent="0.25">
      <c r="B11" s="23" t="s">
        <v>160</v>
      </c>
      <c r="C11" s="24">
        <v>20</v>
      </c>
      <c r="D11" s="25" t="s">
        <v>161</v>
      </c>
      <c r="E11" s="23" t="s">
        <v>162</v>
      </c>
    </row>
    <row r="12" spans="2:5" x14ac:dyDescent="0.25">
      <c r="B12" s="26" t="s">
        <v>163</v>
      </c>
      <c r="C12" s="36">
        <f>C10*C11</f>
      </c>
      <c r="D12" s="28" t="s">
        <v>164</v>
      </c>
      <c r="E12" s="26" t="s">
        <v>165</v>
      </c>
    </row>
    <row r="13" spans="2:5" x14ac:dyDescent="0.25">
      <c r="B13" s="23" t="s">
        <v>166</v>
      </c>
      <c r="C13" s="37">
        <v>50</v>
      </c>
      <c r="D13" s="25" t="s">
        <v>167</v>
      </c>
      <c r="E13" s="23" t="s">
        <v>168</v>
      </c>
    </row>
    <row r="14" spans="2:5" x14ac:dyDescent="0.25">
      <c r="B14" s="33" t="s">
        <v>169</v>
      </c>
      <c r="C14" s="38">
        <f>C12*C13</f>
      </c>
      <c r="D14" s="35" t="s">
        <v>170</v>
      </c>
      <c r="E14" s="33" t="s">
        <v>171</v>
      </c>
    </row>
    <row r="17" spans="2:5" x14ac:dyDescent="0.25">
      <c r="B17" s="21" t="s">
        <v>172</v>
      </c>
      <c r="C17" s="22" t="s">
        <v>173</v>
      </c>
      <c r="D17" s="22" t="s">
        <v>174</v>
      </c>
      <c r="E17" s="22" t="s">
        <v>175</v>
      </c>
    </row>
    <row r="18" spans="2:5" x14ac:dyDescent="0.25">
      <c r="B18" s="23" t="s">
        <v>176</v>
      </c>
      <c r="C18" s="39">
        <f>C12/1</f>
      </c>
      <c r="D18" s="29">
        <f>C18/40</f>
      </c>
      <c r="E18" s="29">
        <f>D18/4</f>
      </c>
    </row>
    <row r="19" spans="2:5" x14ac:dyDescent="0.25">
      <c r="B19" s="23" t="s">
        <v>177</v>
      </c>
      <c r="C19" s="39">
        <f>C12/2</f>
      </c>
      <c r="D19" s="29">
        <f>C19/40</f>
      </c>
      <c r="E19" s="29">
        <f>D19/4</f>
      </c>
    </row>
    <row r="20" spans="2:5" x14ac:dyDescent="0.25">
      <c r="B20" s="26" t="s">
        <v>178</v>
      </c>
      <c r="C20" s="36">
        <f>C12/4</f>
      </c>
      <c r="D20" s="40">
        <f>C20/40</f>
      </c>
      <c r="E20" s="40">
        <f>D20/4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Classificação e Justificativa d</vt:lpstr>
      <vt:lpstr>Cálculo UAW (Unadjusted Actor W</vt:lpstr>
      <vt:lpstr>FCT</vt:lpstr>
      <vt:lpstr>FCA</vt:lpstr>
      <vt:lpstr>UUCW</vt:lpstr>
      <vt:lpstr>Consolidado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contentStatus/>
  <dcterms:created xsi:type="dcterms:W3CDTF">2026-09-02T23:54:31Z</dcterms:created>
  <dcterms:modified xsi:type="dcterms:W3CDTF">2026-09-10T00:09:30Z</dcterms:modified>
</cp:coreProperties>
</file>